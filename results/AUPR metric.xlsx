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482337260f6bc47/Xiaoyan - University of Oulu and Oamk/DMP/TGRS2026/revision/more results/"/>
    </mc:Choice>
  </mc:AlternateContent>
  <xr:revisionPtr revIDLastSave="182" documentId="13_ncr:1_{9B571FA1-5EC8-429F-B0E2-D40C6A23B360}" xr6:coauthVersionLast="47" xr6:coauthVersionMax="47" xr10:uidLastSave="{11B6DC22-9891-4602-B75E-F5AE8FB7B4F4}"/>
  <bookViews>
    <workbookView xWindow="3270" yWindow="840" windowWidth="21600" windowHeight="11295" tabRatio="767" xr2:uid="{00000000-000D-0000-FFFF-FFFF00000000}"/>
  </bookViews>
  <sheets>
    <sheet name="AUPR" sheetId="2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" i="24" l="1"/>
  <c r="W22" i="24"/>
  <c r="W23" i="24"/>
  <c r="W24" i="24"/>
  <c r="W25" i="24"/>
  <c r="W26" i="24"/>
  <c r="W27" i="24"/>
  <c r="W28" i="24"/>
  <c r="W29" i="24"/>
  <c r="W30" i="24"/>
  <c r="W31" i="24"/>
  <c r="V21" i="24"/>
  <c r="V22" i="24"/>
  <c r="V23" i="24"/>
  <c r="V24" i="24"/>
  <c r="V25" i="24"/>
  <c r="V26" i="24"/>
  <c r="V27" i="24"/>
  <c r="V28" i="24"/>
  <c r="V29" i="24"/>
  <c r="V30" i="24"/>
  <c r="V31" i="24"/>
  <c r="U21" i="24"/>
  <c r="U22" i="24"/>
  <c r="U23" i="24"/>
  <c r="U24" i="24"/>
  <c r="U25" i="24"/>
  <c r="U26" i="24"/>
  <c r="U27" i="24"/>
  <c r="U28" i="24"/>
  <c r="U29" i="24"/>
  <c r="U30" i="24"/>
  <c r="U31" i="24"/>
  <c r="T21" i="24"/>
  <c r="T22" i="24"/>
  <c r="T23" i="24"/>
  <c r="T24" i="24"/>
  <c r="T25" i="24"/>
  <c r="T26" i="24"/>
  <c r="T27" i="24"/>
  <c r="T28" i="24"/>
  <c r="T29" i="24"/>
  <c r="T30" i="24"/>
  <c r="T31" i="24"/>
  <c r="W20" i="24"/>
  <c r="V20" i="24"/>
  <c r="U20" i="24"/>
  <c r="T20" i="24"/>
  <c r="D20" i="24"/>
  <c r="E20" i="24"/>
  <c r="F20" i="24"/>
  <c r="G20" i="24"/>
  <c r="H20" i="24"/>
  <c r="I20" i="24"/>
  <c r="J20" i="24"/>
  <c r="K20" i="24"/>
  <c r="D21" i="24"/>
  <c r="E21" i="24"/>
  <c r="F21" i="24"/>
  <c r="G21" i="24"/>
  <c r="H21" i="24"/>
  <c r="I21" i="24"/>
  <c r="J21" i="24"/>
  <c r="K21" i="24"/>
  <c r="D22" i="24"/>
  <c r="E22" i="24"/>
  <c r="F22" i="24"/>
  <c r="G22" i="24"/>
  <c r="H22" i="24"/>
  <c r="I22" i="24"/>
  <c r="J22" i="24"/>
  <c r="K22" i="24"/>
  <c r="D23" i="24"/>
  <c r="E23" i="24"/>
  <c r="F23" i="24"/>
  <c r="G23" i="24"/>
  <c r="H23" i="24"/>
  <c r="I23" i="24"/>
  <c r="J23" i="24"/>
  <c r="K23" i="24"/>
  <c r="D24" i="24"/>
  <c r="E24" i="24"/>
  <c r="F24" i="24"/>
  <c r="G24" i="24"/>
  <c r="H24" i="24"/>
  <c r="I24" i="24"/>
  <c r="J24" i="24"/>
  <c r="K24" i="24"/>
  <c r="N24" i="24"/>
  <c r="D25" i="24"/>
  <c r="E25" i="24"/>
  <c r="F25" i="24"/>
  <c r="G25" i="24"/>
  <c r="H25" i="24"/>
  <c r="I25" i="24"/>
  <c r="J25" i="24"/>
  <c r="K25" i="24"/>
  <c r="N25" i="24"/>
  <c r="D26" i="24"/>
  <c r="E26" i="24"/>
  <c r="F26" i="24"/>
  <c r="G26" i="24"/>
  <c r="H26" i="24"/>
  <c r="I26" i="24"/>
  <c r="J26" i="24"/>
  <c r="K26" i="24"/>
  <c r="D27" i="24"/>
  <c r="E27" i="24"/>
  <c r="F27" i="24"/>
  <c r="G27" i="24"/>
  <c r="H27" i="24"/>
  <c r="I27" i="24"/>
  <c r="J27" i="24"/>
  <c r="K27" i="24"/>
  <c r="M27" i="24"/>
  <c r="D28" i="24"/>
  <c r="E28" i="24"/>
  <c r="F28" i="24"/>
  <c r="G28" i="24"/>
  <c r="H28" i="24"/>
  <c r="I28" i="24"/>
  <c r="J28" i="24"/>
  <c r="K28" i="24"/>
  <c r="D29" i="24"/>
  <c r="E29" i="24"/>
  <c r="F29" i="24"/>
  <c r="G29" i="24"/>
  <c r="H29" i="24"/>
  <c r="I29" i="24"/>
  <c r="J29" i="24"/>
  <c r="K29" i="24"/>
  <c r="D30" i="24"/>
  <c r="E30" i="24"/>
  <c r="F30" i="24"/>
  <c r="G30" i="24"/>
  <c r="H30" i="24"/>
  <c r="I30" i="24"/>
  <c r="J30" i="24"/>
  <c r="K30" i="24"/>
  <c r="L30" i="24"/>
  <c r="D31" i="24"/>
  <c r="E31" i="24"/>
  <c r="F31" i="24"/>
  <c r="G31" i="24"/>
  <c r="H31" i="24"/>
  <c r="I31" i="24"/>
  <c r="J31" i="24"/>
  <c r="K31" i="24"/>
  <c r="L31" i="24"/>
  <c r="N31" i="24"/>
  <c r="C29" i="24"/>
  <c r="C30" i="24"/>
  <c r="C31" i="24"/>
  <c r="C21" i="24"/>
  <c r="C22" i="24"/>
  <c r="C23" i="24"/>
  <c r="C24" i="24"/>
  <c r="C25" i="24"/>
  <c r="C26" i="24"/>
  <c r="C27" i="24"/>
  <c r="C28" i="24"/>
  <c r="C20" i="24"/>
  <c r="L12" i="24"/>
  <c r="L29" i="24" s="1"/>
  <c r="M12" i="24"/>
  <c r="M29" i="24" s="1"/>
  <c r="N12" i="24"/>
  <c r="N29" i="24" s="1"/>
  <c r="L13" i="24"/>
  <c r="M13" i="24"/>
  <c r="M30" i="24" s="1"/>
  <c r="N13" i="24"/>
  <c r="N30" i="24" s="1"/>
  <c r="M14" i="24"/>
  <c r="M31" i="24" s="1"/>
  <c r="N11" i="24"/>
  <c r="N28" i="24" s="1"/>
  <c r="M11" i="24"/>
  <c r="M28" i="24" s="1"/>
  <c r="L11" i="24"/>
  <c r="L28" i="24" s="1"/>
  <c r="N10" i="24"/>
  <c r="N27" i="24" s="1"/>
  <c r="M10" i="24"/>
  <c r="L10" i="24"/>
  <c r="L27" i="24" s="1"/>
  <c r="N9" i="24"/>
  <c r="N26" i="24" s="1"/>
  <c r="M9" i="24"/>
  <c r="M26" i="24" s="1"/>
  <c r="L9" i="24"/>
  <c r="L26" i="24" s="1"/>
  <c r="N8" i="24"/>
  <c r="M8" i="24"/>
  <c r="M25" i="24" s="1"/>
  <c r="L8" i="24"/>
  <c r="L25" i="24" s="1"/>
  <c r="N7" i="24"/>
  <c r="M7" i="24"/>
  <c r="M24" i="24" s="1"/>
  <c r="L7" i="24"/>
  <c r="L24" i="24" s="1"/>
  <c r="N6" i="24"/>
  <c r="N23" i="24" s="1"/>
  <c r="M6" i="24"/>
  <c r="M23" i="24" s="1"/>
  <c r="L6" i="24"/>
  <c r="L23" i="24" s="1"/>
  <c r="N5" i="24"/>
  <c r="N22" i="24" s="1"/>
  <c r="M5" i="24"/>
  <c r="M22" i="24" s="1"/>
  <c r="L5" i="24"/>
  <c r="L22" i="24" s="1"/>
  <c r="N4" i="24"/>
  <c r="N21" i="24" s="1"/>
  <c r="M4" i="24"/>
  <c r="M21" i="24" s="1"/>
  <c r="L4" i="24"/>
  <c r="L21" i="24" s="1"/>
  <c r="N3" i="24"/>
  <c r="N20" i="24" s="1"/>
  <c r="M3" i="24"/>
  <c r="M20" i="24" s="1"/>
  <c r="L3" i="24"/>
  <c r="L20" i="24" s="1"/>
</calcChain>
</file>

<file path=xl/sharedStrings.xml><?xml version="1.0" encoding="utf-8"?>
<sst xmlns="http://schemas.openxmlformats.org/spreadsheetml/2006/main" count="87" uniqueCount="28">
  <si>
    <t>MaxNorm</t>
  </si>
  <si>
    <t>AUROC</t>
  </si>
  <si>
    <t>FPR</t>
  </si>
  <si>
    <t>METHOD</t>
  </si>
  <si>
    <t>SAMPLE</t>
  </si>
  <si>
    <t>SAR-ACD</t>
  </si>
  <si>
    <t>FUSAR-ship</t>
  </si>
  <si>
    <t>Average</t>
  </si>
  <si>
    <t>ID ACC</t>
    <phoneticPr fontId="1" type="noConversion"/>
  </si>
  <si>
    <t>ODIN (ICLR 2018)</t>
    <phoneticPr fontId="1" type="noConversion"/>
  </si>
  <si>
    <t>GradNorm (NIPS 2021)</t>
    <phoneticPr fontId="1" type="noConversion"/>
  </si>
  <si>
    <t>Energy (NIPS 2020)</t>
    <phoneticPr fontId="1" type="noConversion"/>
  </si>
  <si>
    <t>DML (CVPR 2023)</t>
    <phoneticPr fontId="1" type="noConversion"/>
  </si>
  <si>
    <t>Training</t>
    <phoneticPr fontId="1" type="noConversion"/>
  </si>
  <si>
    <t>Post-hoc</t>
    <phoneticPr fontId="1" type="noConversion"/>
  </si>
  <si>
    <t>CIDER (ICLR 2023)</t>
    <phoneticPr fontId="1" type="noConversion"/>
  </si>
  <si>
    <t>DMPL (ours)</t>
    <phoneticPr fontId="1" type="noConversion"/>
  </si>
  <si>
    <t>AUPR</t>
    <phoneticPr fontId="1" type="noConversion"/>
  </si>
  <si>
    <t>Mode</t>
    <phoneticPr fontId="1" type="noConversion"/>
  </si>
  <si>
    <t>DMPC (ours)</t>
    <phoneticPr fontId="1" type="noConversion"/>
  </si>
  <si>
    <t>MSP (ICLR 2017)</t>
    <phoneticPr fontId="1" type="noConversion"/>
  </si>
  <si>
    <t>MaxLogit (ICML 2022)</t>
    <phoneticPr fontId="1" type="noConversion"/>
  </si>
  <si>
    <t>KNN (ICML 2022)</t>
    <phoneticPr fontId="1" type="noConversion"/>
  </si>
  <si>
    <t>KNN+ (ICML 2022)</t>
    <phoneticPr fontId="1" type="noConversion"/>
  </si>
  <si>
    <t>SAMPLE</t>
    <phoneticPr fontId="1" type="noConversion"/>
  </si>
  <si>
    <t>SAR-ACD</t>
    <phoneticPr fontId="1" type="noConversion"/>
  </si>
  <si>
    <t>FUSAR-ship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</si>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</sst>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);[Red]\(0.0000\)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5" xfId="0" applyFont="1" applyBorder="1" applyAlignment="1">
      <alignment horizontal="center" vertical="top"/>
    </xf>
    <xf numFmtId="0" fontId="0" fillId="0" borderId="7" xfId="0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top"/>
    </xf>
    <xf numFmtId="177" fontId="4" fillId="0" borderId="5" xfId="0" applyNumberFormat="1" applyFont="1" applyBorder="1"/>
    <xf numFmtId="176" fontId="0" fillId="0" borderId="0" xfId="0" applyNumberFormat="1"/>
    <xf numFmtId="0" fontId="3" fillId="0" borderId="10" xfId="0" applyFont="1" applyBorder="1" applyAlignment="1">
      <alignment horizontal="center" vertical="top"/>
    </xf>
    <xf numFmtId="176" fontId="0" fillId="0" borderId="10" xfId="0" applyNumberFormat="1" applyBorder="1"/>
    <xf numFmtId="176" fontId="0" fillId="0" borderId="5" xfId="0" applyNumberFormat="1" applyBorder="1"/>
    <xf numFmtId="177" fontId="4" fillId="0" borderId="10" xfId="0" applyNumberFormat="1" applyFont="1" applyBorder="1"/>
    <xf numFmtId="0" fontId="5" fillId="0" borderId="7" xfId="0" applyFont="1" applyBorder="1" applyAlignment="1">
      <alignment horizontal="center" vertical="center" wrapText="1" readingOrder="1"/>
    </xf>
    <xf numFmtId="176" fontId="0" fillId="0" borderId="7" xfId="0" applyNumberFormat="1" applyBorder="1"/>
    <xf numFmtId="176" fontId="0" fillId="0" borderId="8" xfId="0" applyNumberFormat="1" applyBorder="1"/>
    <xf numFmtId="176" fontId="0" fillId="0" borderId="11" xfId="0" applyNumberFormat="1" applyBorder="1"/>
    <xf numFmtId="0" fontId="3" fillId="0" borderId="0" xfId="0" applyFont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/>
    </xf>
    <xf numFmtId="177" fontId="4" fillId="0" borderId="0" xfId="0" applyNumberFormat="1" applyFont="1"/>
    <xf numFmtId="0" fontId="2" fillId="0" borderId="0" xfId="0" applyFont="1"/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" xfId="0" applyFont="1" applyBorder="1" applyAlignment="1">
      <alignment horizontal="center" wrapText="1" readingOrder="1"/>
    </xf>
    <xf numFmtId="0" fontId="5" fillId="0" borderId="6" xfId="0" applyFont="1" applyBorder="1" applyAlignment="1">
      <alignment horizontal="center" wrapText="1" readingOrder="1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2" xfId="0" applyFont="1" applyBorder="1" applyAlignment="1">
      <alignment horizontal="center" wrapText="1"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4C14-0216-4B2A-BB18-513B1EDB95FE}">
  <dimension ref="A1:W31"/>
  <sheetViews>
    <sheetView tabSelected="1" topLeftCell="C10" zoomScaleNormal="100" workbookViewId="0">
      <selection activeCell="F38" sqref="F38"/>
    </sheetView>
  </sheetViews>
  <sheetFormatPr defaultRowHeight="13.5" x14ac:dyDescent="0.15"/>
  <cols>
    <col min="2" max="2" width="32.375" customWidth="1"/>
    <col min="3" max="5" width="9.125" bestFit="1" customWidth="1"/>
    <col min="6" max="6" width="9.625" bestFit="1" customWidth="1"/>
    <col min="7" max="7" width="9.125" bestFit="1" customWidth="1"/>
    <col min="8" max="8" width="9.625" bestFit="1" customWidth="1"/>
    <col min="9" max="11" width="9.125" bestFit="1" customWidth="1"/>
    <col min="12" max="12" width="9.625" bestFit="1" customWidth="1"/>
    <col min="13" max="13" width="9.125" bestFit="1" customWidth="1"/>
    <col min="14" max="14" width="9.625" bestFit="1" customWidth="1"/>
    <col min="15" max="15" width="9.125" bestFit="1" customWidth="1"/>
    <col min="19" max="19" width="25.75" customWidth="1"/>
    <col min="22" max="22" width="13.5" customWidth="1"/>
  </cols>
  <sheetData>
    <row r="1" spans="1:15" x14ac:dyDescent="0.15">
      <c r="A1" s="37" t="s">
        <v>18</v>
      </c>
      <c r="B1" s="38" t="s">
        <v>3</v>
      </c>
      <c r="C1" s="40" t="s">
        <v>4</v>
      </c>
      <c r="D1" s="40"/>
      <c r="E1" s="40"/>
      <c r="F1" s="40" t="s">
        <v>5</v>
      </c>
      <c r="G1" s="40"/>
      <c r="H1" s="40"/>
      <c r="I1" s="40" t="s">
        <v>6</v>
      </c>
      <c r="J1" s="40"/>
      <c r="K1" s="40"/>
      <c r="L1" s="40" t="s">
        <v>7</v>
      </c>
      <c r="M1" s="40"/>
      <c r="N1" s="40"/>
      <c r="O1" s="30" t="s">
        <v>8</v>
      </c>
    </row>
    <row r="2" spans="1:15" x14ac:dyDescent="0.15">
      <c r="A2" s="32"/>
      <c r="B2" s="39"/>
      <c r="C2" s="16" t="s">
        <v>1</v>
      </c>
      <c r="D2" s="16" t="s">
        <v>17</v>
      </c>
      <c r="E2" s="16" t="s">
        <v>2</v>
      </c>
      <c r="F2" s="16" t="s">
        <v>1</v>
      </c>
      <c r="G2" s="16" t="s">
        <v>17</v>
      </c>
      <c r="H2" s="16" t="s">
        <v>2</v>
      </c>
      <c r="I2" s="16" t="s">
        <v>1</v>
      </c>
      <c r="J2" s="16" t="s">
        <v>17</v>
      </c>
      <c r="K2" s="16" t="s">
        <v>2</v>
      </c>
      <c r="L2" s="16" t="s">
        <v>1</v>
      </c>
      <c r="M2" s="16" t="s">
        <v>17</v>
      </c>
      <c r="N2" s="16" t="s">
        <v>2</v>
      </c>
      <c r="O2" s="31"/>
    </row>
    <row r="3" spans="1:15" x14ac:dyDescent="0.15">
      <c r="A3" s="32" t="s">
        <v>14</v>
      </c>
      <c r="B3" s="5" t="s">
        <v>0</v>
      </c>
      <c r="C3" s="18">
        <v>0.31482235171074258</v>
      </c>
      <c r="D3" s="18">
        <v>0.75399434106386076</v>
      </c>
      <c r="E3" s="18">
        <v>1</v>
      </c>
      <c r="F3" s="18">
        <v>0.71373330522536249</v>
      </c>
      <c r="G3" s="18">
        <v>0.54560992152071197</v>
      </c>
      <c r="H3" s="18">
        <v>0.57288918205804751</v>
      </c>
      <c r="I3" s="18">
        <v>0.73690312993405782</v>
      </c>
      <c r="J3" s="18">
        <v>0.81597972773009986</v>
      </c>
      <c r="K3" s="18">
        <v>0.60090090090090087</v>
      </c>
      <c r="L3" s="18">
        <f>(C3+F3+I3)/3</f>
        <v>0.5884862622900543</v>
      </c>
      <c r="M3" s="18">
        <f>(D3+G3+J3)/3</f>
        <v>0.70519466343822412</v>
      </c>
      <c r="N3" s="18">
        <f>(E3+H3+K3)/3</f>
        <v>0.72459669431964946</v>
      </c>
      <c r="O3" s="31">
        <v>98.02</v>
      </c>
    </row>
    <row r="4" spans="1:15" x14ac:dyDescent="0.15">
      <c r="A4" s="32"/>
      <c r="B4" s="5" t="s">
        <v>20</v>
      </c>
      <c r="C4" s="18">
        <v>0.95530464664574932</v>
      </c>
      <c r="D4" s="18">
        <v>0.98856202987736419</v>
      </c>
      <c r="E4" s="18">
        <v>0.33768115942028992</v>
      </c>
      <c r="F4" s="18">
        <v>0.97117407447705562</v>
      </c>
      <c r="G4" s="18">
        <v>0.97425364720548047</v>
      </c>
      <c r="H4" s="18">
        <v>0.16589709762532981</v>
      </c>
      <c r="I4" s="18">
        <v>0.8514041051360639</v>
      </c>
      <c r="J4" s="18">
        <v>0.92715995479379043</v>
      </c>
      <c r="K4" s="18">
        <v>0.56306306306306309</v>
      </c>
      <c r="L4" s="18">
        <f t="shared" ref="L4:L13" si="0">(C4+F4+I4)/3</f>
        <v>0.92596094208628965</v>
      </c>
      <c r="M4" s="18">
        <f t="shared" ref="M4:M14" si="1">(D4+G4+J4)/3</f>
        <v>0.9633252106255451</v>
      </c>
      <c r="N4" s="18">
        <f t="shared" ref="N4:N13" si="2">(E4+H4+K4)/3</f>
        <v>0.3555471067028943</v>
      </c>
      <c r="O4" s="31"/>
    </row>
    <row r="5" spans="1:15" x14ac:dyDescent="0.15">
      <c r="A5" s="32"/>
      <c r="B5" s="5" t="s">
        <v>9</v>
      </c>
      <c r="C5" s="18">
        <v>0.95012729717615418</v>
      </c>
      <c r="D5" s="18">
        <v>0.98721812248989915</v>
      </c>
      <c r="E5" s="18">
        <v>0.35797101449275359</v>
      </c>
      <c r="F5" s="18">
        <v>0.97292454369882753</v>
      </c>
      <c r="G5" s="18">
        <v>0.963456676951854</v>
      </c>
      <c r="H5" s="18">
        <v>0.112467018469657</v>
      </c>
      <c r="I5" s="18">
        <v>0.88483272963685344</v>
      </c>
      <c r="J5" s="18">
        <v>0.94363820159854161</v>
      </c>
      <c r="K5" s="18">
        <v>0.43153153153153151</v>
      </c>
      <c r="L5" s="18">
        <f t="shared" si="0"/>
        <v>0.93596152350394501</v>
      </c>
      <c r="M5" s="18">
        <f t="shared" si="1"/>
        <v>0.96477100034676477</v>
      </c>
      <c r="N5" s="18">
        <f t="shared" si="2"/>
        <v>0.30065652149798067</v>
      </c>
      <c r="O5" s="31"/>
    </row>
    <row r="6" spans="1:15" x14ac:dyDescent="0.15">
      <c r="A6" s="32"/>
      <c r="B6" s="5" t="s">
        <v>11</v>
      </c>
      <c r="C6" s="18">
        <v>0.8621646496339459</v>
      </c>
      <c r="D6" s="18">
        <v>0.96482619230030342</v>
      </c>
      <c r="E6" s="18">
        <v>0.97391304347826091</v>
      </c>
      <c r="F6" s="18">
        <v>0.95663683594918802</v>
      </c>
      <c r="G6" s="18">
        <v>0.95349221918546112</v>
      </c>
      <c r="H6" s="18">
        <v>0.23284960422163589</v>
      </c>
      <c r="I6" s="18">
        <v>0.82009101885390545</v>
      </c>
      <c r="J6" s="18">
        <v>0.9052046229961731</v>
      </c>
      <c r="K6" s="18">
        <v>0.52972972972972976</v>
      </c>
      <c r="L6" s="18">
        <f t="shared" si="0"/>
        <v>0.87963083481234638</v>
      </c>
      <c r="M6" s="18">
        <f t="shared" si="1"/>
        <v>0.94117434482731255</v>
      </c>
      <c r="N6" s="18">
        <f t="shared" si="2"/>
        <v>0.57883079247654212</v>
      </c>
      <c r="O6" s="31"/>
    </row>
    <row r="7" spans="1:15" x14ac:dyDescent="0.15">
      <c r="A7" s="32"/>
      <c r="B7" s="5" t="s">
        <v>10</v>
      </c>
      <c r="C7" s="18">
        <v>0.74800926340953233</v>
      </c>
      <c r="D7" s="18">
        <v>0.92210606529796801</v>
      </c>
      <c r="E7" s="18">
        <v>0.97681159420289854</v>
      </c>
      <c r="F7" s="18">
        <v>0.83480551097570921</v>
      </c>
      <c r="G7" s="18">
        <v>0.68411346974745024</v>
      </c>
      <c r="H7" s="18">
        <v>0.37434036939313992</v>
      </c>
      <c r="I7" s="18">
        <v>0.81465960806166993</v>
      </c>
      <c r="J7" s="18">
        <v>0.88740767985067559</v>
      </c>
      <c r="K7" s="18">
        <v>0.54324324324324325</v>
      </c>
      <c r="L7" s="18">
        <f t="shared" si="0"/>
        <v>0.79915812748230375</v>
      </c>
      <c r="M7" s="18">
        <f t="shared" si="1"/>
        <v>0.83120907163203128</v>
      </c>
      <c r="N7" s="18">
        <f t="shared" si="2"/>
        <v>0.63146506894642729</v>
      </c>
      <c r="O7" s="31"/>
    </row>
    <row r="8" spans="1:15" x14ac:dyDescent="0.15">
      <c r="A8" s="32"/>
      <c r="B8" s="5" t="s">
        <v>21</v>
      </c>
      <c r="C8" s="18">
        <v>0.87802838786792181</v>
      </c>
      <c r="D8" s="18">
        <v>0.96855788452793368</v>
      </c>
      <c r="E8" s="18">
        <v>0.95072463768115945</v>
      </c>
      <c r="F8" s="18">
        <v>0.96037578543644408</v>
      </c>
      <c r="G8" s="18">
        <v>0.95739912306726449</v>
      </c>
      <c r="H8" s="18">
        <v>0.2265831134564644</v>
      </c>
      <c r="I8" s="18">
        <v>0.82063508869694435</v>
      </c>
      <c r="J8" s="18">
        <v>0.9054904401675703</v>
      </c>
      <c r="K8" s="18">
        <v>0.54054054054054057</v>
      </c>
      <c r="L8" s="18">
        <f t="shared" si="0"/>
        <v>0.88634642066710345</v>
      </c>
      <c r="M8" s="18">
        <f t="shared" si="1"/>
        <v>0.94381581592092278</v>
      </c>
      <c r="N8" s="18">
        <f t="shared" si="2"/>
        <v>0.57261609722605478</v>
      </c>
      <c r="O8" s="31"/>
    </row>
    <row r="9" spans="1:15" x14ac:dyDescent="0.15">
      <c r="A9" s="32"/>
      <c r="B9" s="5" t="s">
        <v>22</v>
      </c>
      <c r="C9" s="18">
        <v>0.96866457492903035</v>
      </c>
      <c r="D9" s="18">
        <v>0.99229690250961244</v>
      </c>
      <c r="E9" s="18">
        <v>0.172463768115942</v>
      </c>
      <c r="F9" s="18">
        <v>0.9793292168756631</v>
      </c>
      <c r="G9" s="18">
        <v>0.98072966118442229</v>
      </c>
      <c r="H9" s="18">
        <v>0.1256596306068602</v>
      </c>
      <c r="I9" s="18">
        <v>0.88918584563945391</v>
      </c>
      <c r="J9" s="18">
        <v>0.94739698690833085</v>
      </c>
      <c r="K9" s="18">
        <v>0.54054054054054057</v>
      </c>
      <c r="L9" s="18">
        <f t="shared" si="0"/>
        <v>0.94572654581471571</v>
      </c>
      <c r="M9" s="18">
        <f t="shared" si="1"/>
        <v>0.97347451686745512</v>
      </c>
      <c r="N9" s="18">
        <f t="shared" si="2"/>
        <v>0.27955464642111427</v>
      </c>
      <c r="O9" s="31"/>
    </row>
    <row r="10" spans="1:15" x14ac:dyDescent="0.15">
      <c r="A10" s="32"/>
      <c r="B10" s="5" t="s">
        <v>12</v>
      </c>
      <c r="C10" s="18">
        <v>0.54636426116838499</v>
      </c>
      <c r="D10" s="18">
        <v>0.8594472562720985</v>
      </c>
      <c r="E10" s="18">
        <v>1</v>
      </c>
      <c r="F10" s="18">
        <v>0.81414499632782955</v>
      </c>
      <c r="G10" s="18">
        <v>0.66574975897229005</v>
      </c>
      <c r="H10" s="18">
        <v>0.44986807387862798</v>
      </c>
      <c r="I10" s="18">
        <v>0.7746911860313922</v>
      </c>
      <c r="J10" s="18">
        <v>0.85385592808966748</v>
      </c>
      <c r="K10" s="18">
        <v>0.57927927927927925</v>
      </c>
      <c r="L10" s="18">
        <f t="shared" si="0"/>
        <v>0.71173348117586899</v>
      </c>
      <c r="M10" s="18">
        <f t="shared" si="1"/>
        <v>0.79301764777801864</v>
      </c>
      <c r="N10" s="18">
        <f t="shared" si="2"/>
        <v>0.67638245105263584</v>
      </c>
      <c r="O10" s="31"/>
    </row>
    <row r="11" spans="1:15" x14ac:dyDescent="0.15">
      <c r="A11" s="33"/>
      <c r="B11" s="8" t="s">
        <v>19</v>
      </c>
      <c r="C11" s="11">
        <v>0.98548662782011054</v>
      </c>
      <c r="D11" s="11">
        <v>0.99640727678685148</v>
      </c>
      <c r="E11" s="11">
        <v>2.028985507246377E-2</v>
      </c>
      <c r="F11" s="11">
        <v>0.97798520251339671</v>
      </c>
      <c r="G11" s="11">
        <v>0.98086265721689125</v>
      </c>
      <c r="H11" s="11">
        <v>9.7295514511873349E-2</v>
      </c>
      <c r="I11" s="11">
        <v>0.90631596544998616</v>
      </c>
      <c r="J11" s="11">
        <v>0.95589363939697303</v>
      </c>
      <c r="K11" s="11">
        <v>0.46666666666666667</v>
      </c>
      <c r="L11" s="11">
        <f t="shared" si="0"/>
        <v>0.9565959319278311</v>
      </c>
      <c r="M11" s="11">
        <f t="shared" si="1"/>
        <v>0.97772119113357192</v>
      </c>
      <c r="N11" s="11">
        <f t="shared" si="2"/>
        <v>0.19475067875033458</v>
      </c>
      <c r="O11" s="34"/>
    </row>
    <row r="12" spans="1:15" x14ac:dyDescent="0.15">
      <c r="A12" s="32" t="s">
        <v>13</v>
      </c>
      <c r="B12" s="5" t="s">
        <v>23</v>
      </c>
      <c r="C12" s="18">
        <v>0.97699999999999998</v>
      </c>
      <c r="D12" s="18">
        <v>0.99339999999999995</v>
      </c>
      <c r="E12" s="18">
        <v>0.14349999999999999</v>
      </c>
      <c r="F12" s="18">
        <v>0.99399999999999999</v>
      </c>
      <c r="G12" s="18">
        <v>0.99409999999999998</v>
      </c>
      <c r="H12" s="18">
        <v>1.8800000000000001E-2</v>
      </c>
      <c r="I12" s="18">
        <v>0.97660000000000002</v>
      </c>
      <c r="J12" s="18">
        <v>0.9889</v>
      </c>
      <c r="K12" s="18">
        <v>0.10630000000000001</v>
      </c>
      <c r="L12" s="18">
        <f t="shared" si="0"/>
        <v>0.98253333333333337</v>
      </c>
      <c r="M12" s="18">
        <f t="shared" si="1"/>
        <v>0.99213333333333331</v>
      </c>
      <c r="N12" s="18">
        <f t="shared" si="2"/>
        <v>8.953333333333334E-2</v>
      </c>
      <c r="O12" s="17">
        <v>98.14</v>
      </c>
    </row>
    <row r="13" spans="1:15" x14ac:dyDescent="0.15">
      <c r="A13" s="32"/>
      <c r="B13" s="5" t="s">
        <v>15</v>
      </c>
      <c r="C13" s="18">
        <v>0.96630000000000005</v>
      </c>
      <c r="D13" s="18">
        <v>0.99099999999999999</v>
      </c>
      <c r="E13" s="18">
        <v>0.21160000000000001</v>
      </c>
      <c r="F13" s="18">
        <v>0.99880000000000002</v>
      </c>
      <c r="G13" s="18">
        <v>0.99880000000000002</v>
      </c>
      <c r="H13" s="18">
        <v>2.9999999999999997E-4</v>
      </c>
      <c r="I13" s="18">
        <v>0.995</v>
      </c>
      <c r="J13" s="18">
        <v>0.99809999999999999</v>
      </c>
      <c r="K13" s="18">
        <v>1.8E-3</v>
      </c>
      <c r="L13" s="18">
        <f t="shared" si="0"/>
        <v>0.98670000000000002</v>
      </c>
      <c r="M13" s="18">
        <f t="shared" si="1"/>
        <v>0.99596666666666656</v>
      </c>
      <c r="N13" s="18">
        <f t="shared" si="2"/>
        <v>7.1233333333333329E-2</v>
      </c>
      <c r="O13" s="17">
        <v>98.43</v>
      </c>
    </row>
    <row r="14" spans="1:15" ht="14.25" thickBot="1" x14ac:dyDescent="0.2">
      <c r="A14" s="35"/>
      <c r="B14" s="1" t="s">
        <v>16</v>
      </c>
      <c r="C14" s="6">
        <v>0.98559808755416101</v>
      </c>
      <c r="D14" s="6">
        <v>0.99628175584211021</v>
      </c>
      <c r="E14" s="6">
        <v>4.0579710144927533E-2</v>
      </c>
      <c r="F14" s="6">
        <v>0.99993689307183853</v>
      </c>
      <c r="G14" s="6">
        <v>0.99992490140082557</v>
      </c>
      <c r="H14" s="6">
        <v>0</v>
      </c>
      <c r="I14" s="6">
        <v>0.97713866443763353</v>
      </c>
      <c r="J14" s="6">
        <v>0.98881256444591759</v>
      </c>
      <c r="K14" s="6">
        <v>0.11351351351351351</v>
      </c>
      <c r="L14" s="6">
        <v>0.98755788168787761</v>
      </c>
      <c r="M14" s="6">
        <f t="shared" si="1"/>
        <v>0.99500640722961775</v>
      </c>
      <c r="N14" s="6">
        <v>5.1364407886147011E-2</v>
      </c>
      <c r="O14" s="3">
        <v>99.38</v>
      </c>
    </row>
    <row r="15" spans="1:15" x14ac:dyDescent="0.15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7" spans="1:23" ht="14.25" thickBot="1" x14ac:dyDescent="0.2"/>
    <row r="18" spans="1:23" x14ac:dyDescent="0.15">
      <c r="A18" s="27" t="s">
        <v>18</v>
      </c>
      <c r="B18" s="28" t="s">
        <v>3</v>
      </c>
      <c r="C18" s="23" t="s">
        <v>24</v>
      </c>
      <c r="D18" s="23"/>
      <c r="E18" s="23"/>
      <c r="F18" s="23" t="s">
        <v>25</v>
      </c>
      <c r="G18" s="23"/>
      <c r="H18" s="23"/>
      <c r="I18" s="23" t="s">
        <v>26</v>
      </c>
      <c r="J18" s="23"/>
      <c r="K18" s="23"/>
      <c r="L18" s="23" t="s">
        <v>27</v>
      </c>
      <c r="M18" s="23"/>
      <c r="N18" s="23"/>
      <c r="O18" s="36" t="s">
        <v>8</v>
      </c>
      <c r="R18" s="27" t="s">
        <v>18</v>
      </c>
      <c r="S18" s="28" t="s">
        <v>3</v>
      </c>
      <c r="T18" s="23" t="s">
        <v>17</v>
      </c>
      <c r="U18" s="23"/>
      <c r="V18" s="23"/>
      <c r="W18" s="24"/>
    </row>
    <row r="19" spans="1:23" ht="13.5" customHeight="1" x14ac:dyDescent="0.15">
      <c r="A19" s="20"/>
      <c r="B19" s="29"/>
      <c r="C19" s="4" t="s">
        <v>1</v>
      </c>
      <c r="D19" s="4" t="s">
        <v>17</v>
      </c>
      <c r="E19" s="4" t="s">
        <v>2</v>
      </c>
      <c r="F19" s="4" t="s">
        <v>1</v>
      </c>
      <c r="G19" s="4" t="s">
        <v>17</v>
      </c>
      <c r="H19" s="4" t="s">
        <v>2</v>
      </c>
      <c r="I19" s="4" t="s">
        <v>1</v>
      </c>
      <c r="J19" s="4" t="s">
        <v>17</v>
      </c>
      <c r="K19" s="4" t="s">
        <v>2</v>
      </c>
      <c r="L19" s="4" t="s">
        <v>1</v>
      </c>
      <c r="M19" s="4" t="s">
        <v>17</v>
      </c>
      <c r="N19" s="4" t="s">
        <v>2</v>
      </c>
      <c r="O19" s="25"/>
      <c r="R19" s="20"/>
      <c r="S19" s="29"/>
      <c r="T19" s="4" t="s">
        <v>4</v>
      </c>
      <c r="U19" s="4" t="s">
        <v>5</v>
      </c>
      <c r="V19" s="4" t="s">
        <v>6</v>
      </c>
      <c r="W19" s="12" t="s">
        <v>7</v>
      </c>
    </row>
    <row r="20" spans="1:23" x14ac:dyDescent="0.15">
      <c r="A20" s="20" t="s">
        <v>14</v>
      </c>
      <c r="B20" s="5" t="s">
        <v>0</v>
      </c>
      <c r="C20" s="7">
        <f>C3*100</f>
        <v>31.482235171074258</v>
      </c>
      <c r="D20" s="7">
        <f t="shared" ref="D20:N20" si="3">D3*100</f>
        <v>75.399434106386082</v>
      </c>
      <c r="E20" s="7">
        <f t="shared" si="3"/>
        <v>100</v>
      </c>
      <c r="F20" s="7">
        <f t="shared" si="3"/>
        <v>71.37333052253625</v>
      </c>
      <c r="G20" s="7">
        <f t="shared" si="3"/>
        <v>54.560992152071194</v>
      </c>
      <c r="H20" s="7">
        <f t="shared" si="3"/>
        <v>57.288918205804748</v>
      </c>
      <c r="I20" s="7">
        <f t="shared" si="3"/>
        <v>73.690312993405783</v>
      </c>
      <c r="J20" s="7">
        <f t="shared" si="3"/>
        <v>81.597972773009985</v>
      </c>
      <c r="K20" s="7">
        <f t="shared" si="3"/>
        <v>60.090090090090087</v>
      </c>
      <c r="L20" s="7">
        <f t="shared" si="3"/>
        <v>58.848626229005433</v>
      </c>
      <c r="M20" s="7">
        <f t="shared" si="3"/>
        <v>70.519466343822415</v>
      </c>
      <c r="N20" s="7">
        <f t="shared" si="3"/>
        <v>72.45966943196494</v>
      </c>
      <c r="O20" s="25">
        <v>98.02</v>
      </c>
      <c r="R20" s="20" t="s">
        <v>14</v>
      </c>
      <c r="S20" s="5" t="s">
        <v>0</v>
      </c>
      <c r="T20" s="7">
        <f>D20</f>
        <v>75.399434106386082</v>
      </c>
      <c r="U20" s="7">
        <f>G20</f>
        <v>54.560992152071194</v>
      </c>
      <c r="V20" s="7">
        <f>J20</f>
        <v>81.597972773009985</v>
      </c>
      <c r="W20" s="13">
        <f>(T20+U20+V20)/3</f>
        <v>70.51946634382243</v>
      </c>
    </row>
    <row r="21" spans="1:23" x14ac:dyDescent="0.15">
      <c r="A21" s="20"/>
      <c r="B21" s="5" t="s">
        <v>20</v>
      </c>
      <c r="C21" s="7">
        <f t="shared" ref="C21:N31" si="4">C4*100</f>
        <v>95.530464664574936</v>
      </c>
      <c r="D21" s="7">
        <f t="shared" si="4"/>
        <v>98.856202987736424</v>
      </c>
      <c r="E21" s="7">
        <f t="shared" si="4"/>
        <v>33.768115942028992</v>
      </c>
      <c r="F21" s="7">
        <f t="shared" si="4"/>
        <v>97.11740744770556</v>
      </c>
      <c r="G21" s="7">
        <f t="shared" si="4"/>
        <v>97.425364720548046</v>
      </c>
      <c r="H21" s="7">
        <f t="shared" si="4"/>
        <v>16.58970976253298</v>
      </c>
      <c r="I21" s="7">
        <f t="shared" si="4"/>
        <v>85.140410513606383</v>
      </c>
      <c r="J21" s="7">
        <f t="shared" si="4"/>
        <v>92.715995479379046</v>
      </c>
      <c r="K21" s="7">
        <f t="shared" si="4"/>
        <v>56.306306306306311</v>
      </c>
      <c r="L21" s="7">
        <f t="shared" si="4"/>
        <v>92.596094208628969</v>
      </c>
      <c r="M21" s="7">
        <f t="shared" si="4"/>
        <v>96.332521062554505</v>
      </c>
      <c r="N21" s="7">
        <f t="shared" si="4"/>
        <v>35.554710670289431</v>
      </c>
      <c r="O21" s="25"/>
      <c r="R21" s="20"/>
      <c r="S21" s="5" t="s">
        <v>20</v>
      </c>
      <c r="T21" s="7">
        <f t="shared" ref="T21:T31" si="5">D21</f>
        <v>98.856202987736424</v>
      </c>
      <c r="U21" s="7">
        <f t="shared" ref="U21:U31" si="6">G21</f>
        <v>97.425364720548046</v>
      </c>
      <c r="V21" s="7">
        <f t="shared" ref="V21:V31" si="7">J21</f>
        <v>92.715995479379046</v>
      </c>
      <c r="W21" s="13">
        <f t="shared" ref="W21:W31" si="8">(T21+U21+V21)/3</f>
        <v>96.332521062554505</v>
      </c>
    </row>
    <row r="22" spans="1:23" x14ac:dyDescent="0.15">
      <c r="A22" s="20"/>
      <c r="B22" s="5" t="s">
        <v>9</v>
      </c>
      <c r="C22" s="7">
        <f t="shared" si="4"/>
        <v>95.012729717615414</v>
      </c>
      <c r="D22" s="7">
        <f t="shared" si="4"/>
        <v>98.72181224898992</v>
      </c>
      <c r="E22" s="7">
        <f t="shared" si="4"/>
        <v>35.79710144927536</v>
      </c>
      <c r="F22" s="7">
        <f t="shared" si="4"/>
        <v>97.292454369882748</v>
      </c>
      <c r="G22" s="7">
        <f t="shared" si="4"/>
        <v>96.345667695185398</v>
      </c>
      <c r="H22" s="7">
        <f t="shared" si="4"/>
        <v>11.246701846965699</v>
      </c>
      <c r="I22" s="7">
        <f t="shared" si="4"/>
        <v>88.483272963685351</v>
      </c>
      <c r="J22" s="7">
        <f t="shared" si="4"/>
        <v>94.363820159854157</v>
      </c>
      <c r="K22" s="7">
        <f t="shared" si="4"/>
        <v>43.153153153153148</v>
      </c>
      <c r="L22" s="7">
        <f t="shared" si="4"/>
        <v>93.596152350394505</v>
      </c>
      <c r="M22" s="7">
        <f t="shared" si="4"/>
        <v>96.477100034676482</v>
      </c>
      <c r="N22" s="7">
        <f t="shared" si="4"/>
        <v>30.065652149798066</v>
      </c>
      <c r="O22" s="25"/>
      <c r="R22" s="20"/>
      <c r="S22" s="5" t="s">
        <v>9</v>
      </c>
      <c r="T22" s="7">
        <f t="shared" si="5"/>
        <v>98.72181224898992</v>
      </c>
      <c r="U22" s="7">
        <f t="shared" si="6"/>
        <v>96.345667695185398</v>
      </c>
      <c r="V22" s="7">
        <f t="shared" si="7"/>
        <v>94.363820159854157</v>
      </c>
      <c r="W22" s="13">
        <f t="shared" si="8"/>
        <v>96.477100034676482</v>
      </c>
    </row>
    <row r="23" spans="1:23" x14ac:dyDescent="0.15">
      <c r="A23" s="20"/>
      <c r="B23" s="5" t="s">
        <v>11</v>
      </c>
      <c r="C23" s="7">
        <f t="shared" si="4"/>
        <v>86.216464963394586</v>
      </c>
      <c r="D23" s="7">
        <f t="shared" si="4"/>
        <v>96.482619230030338</v>
      </c>
      <c r="E23" s="7">
        <f t="shared" si="4"/>
        <v>97.391304347826093</v>
      </c>
      <c r="F23" s="7">
        <f t="shared" si="4"/>
        <v>95.663683594918808</v>
      </c>
      <c r="G23" s="7">
        <f t="shared" si="4"/>
        <v>95.349221918546107</v>
      </c>
      <c r="H23" s="7">
        <f t="shared" si="4"/>
        <v>23.284960422163589</v>
      </c>
      <c r="I23" s="7">
        <f t="shared" si="4"/>
        <v>82.00910188539055</v>
      </c>
      <c r="J23" s="7">
        <f t="shared" si="4"/>
        <v>90.520462299617307</v>
      </c>
      <c r="K23" s="7">
        <f t="shared" si="4"/>
        <v>52.972972972972975</v>
      </c>
      <c r="L23" s="7">
        <f t="shared" si="4"/>
        <v>87.963083481234634</v>
      </c>
      <c r="M23" s="7">
        <f t="shared" si="4"/>
        <v>94.117434482731255</v>
      </c>
      <c r="N23" s="7">
        <f t="shared" si="4"/>
        <v>57.883079247654209</v>
      </c>
      <c r="O23" s="25"/>
      <c r="R23" s="20"/>
      <c r="S23" s="5" t="s">
        <v>11</v>
      </c>
      <c r="T23" s="7">
        <f t="shared" si="5"/>
        <v>96.482619230030338</v>
      </c>
      <c r="U23" s="7">
        <f t="shared" si="6"/>
        <v>95.349221918546107</v>
      </c>
      <c r="V23" s="7">
        <f t="shared" si="7"/>
        <v>90.520462299617307</v>
      </c>
      <c r="W23" s="13">
        <f t="shared" si="8"/>
        <v>94.117434482731255</v>
      </c>
    </row>
    <row r="24" spans="1:23" x14ac:dyDescent="0.15">
      <c r="A24" s="20"/>
      <c r="B24" s="5" t="s">
        <v>10</v>
      </c>
      <c r="C24" s="7">
        <f t="shared" si="4"/>
        <v>74.800926340953239</v>
      </c>
      <c r="D24" s="7">
        <f t="shared" si="4"/>
        <v>92.210606529796806</v>
      </c>
      <c r="E24" s="7">
        <f t="shared" si="4"/>
        <v>97.681159420289859</v>
      </c>
      <c r="F24" s="7">
        <f t="shared" si="4"/>
        <v>83.480551097570924</v>
      </c>
      <c r="G24" s="7">
        <f t="shared" si="4"/>
        <v>68.41134697474503</v>
      </c>
      <c r="H24" s="7">
        <f t="shared" si="4"/>
        <v>37.434036939313991</v>
      </c>
      <c r="I24" s="7">
        <f t="shared" si="4"/>
        <v>81.46596080616699</v>
      </c>
      <c r="J24" s="7">
        <f t="shared" si="4"/>
        <v>88.740767985067563</v>
      </c>
      <c r="K24" s="7">
        <f t="shared" si="4"/>
        <v>54.324324324324323</v>
      </c>
      <c r="L24" s="7">
        <f t="shared" si="4"/>
        <v>79.91581274823038</v>
      </c>
      <c r="M24" s="7">
        <f t="shared" si="4"/>
        <v>83.120907163203128</v>
      </c>
      <c r="N24" s="7">
        <f t="shared" si="4"/>
        <v>63.146506894642727</v>
      </c>
      <c r="O24" s="25"/>
      <c r="R24" s="20"/>
      <c r="S24" s="5" t="s">
        <v>10</v>
      </c>
      <c r="T24" s="7">
        <f t="shared" si="5"/>
        <v>92.210606529796806</v>
      </c>
      <c r="U24" s="7">
        <f t="shared" si="6"/>
        <v>68.41134697474503</v>
      </c>
      <c r="V24" s="7">
        <f t="shared" si="7"/>
        <v>88.740767985067563</v>
      </c>
      <c r="W24" s="13">
        <f t="shared" si="8"/>
        <v>83.120907163203128</v>
      </c>
    </row>
    <row r="25" spans="1:23" x14ac:dyDescent="0.15">
      <c r="A25" s="20"/>
      <c r="B25" s="5" t="s">
        <v>21</v>
      </c>
      <c r="C25" s="7">
        <f t="shared" si="4"/>
        <v>87.802838786792179</v>
      </c>
      <c r="D25" s="7">
        <f t="shared" si="4"/>
        <v>96.855788452793362</v>
      </c>
      <c r="E25" s="7">
        <f t="shared" si="4"/>
        <v>95.072463768115938</v>
      </c>
      <c r="F25" s="7">
        <f t="shared" si="4"/>
        <v>96.037578543644415</v>
      </c>
      <c r="G25" s="7">
        <f t="shared" si="4"/>
        <v>95.739912306726453</v>
      </c>
      <c r="H25" s="7">
        <f t="shared" si="4"/>
        <v>22.658311345646439</v>
      </c>
      <c r="I25" s="7">
        <f t="shared" si="4"/>
        <v>82.063508869694431</v>
      </c>
      <c r="J25" s="7">
        <f t="shared" si="4"/>
        <v>90.549044016757023</v>
      </c>
      <c r="K25" s="7">
        <f t="shared" si="4"/>
        <v>54.054054054054056</v>
      </c>
      <c r="L25" s="7">
        <f t="shared" si="4"/>
        <v>88.634642066710342</v>
      </c>
      <c r="M25" s="7">
        <f t="shared" si="4"/>
        <v>94.381581592092274</v>
      </c>
      <c r="N25" s="7">
        <f t="shared" si="4"/>
        <v>57.261609722605478</v>
      </c>
      <c r="O25" s="25"/>
      <c r="R25" s="20"/>
      <c r="S25" s="5" t="s">
        <v>21</v>
      </c>
      <c r="T25" s="7">
        <f t="shared" si="5"/>
        <v>96.855788452793362</v>
      </c>
      <c r="U25" s="7">
        <f t="shared" si="6"/>
        <v>95.739912306726453</v>
      </c>
      <c r="V25" s="7">
        <f t="shared" si="7"/>
        <v>90.549044016757023</v>
      </c>
      <c r="W25" s="13">
        <f t="shared" si="8"/>
        <v>94.381581592092289</v>
      </c>
    </row>
    <row r="26" spans="1:23" x14ac:dyDescent="0.15">
      <c r="A26" s="20"/>
      <c r="B26" s="5" t="s">
        <v>22</v>
      </c>
      <c r="C26" s="7">
        <f t="shared" si="4"/>
        <v>96.866457492903038</v>
      </c>
      <c r="D26" s="7">
        <f t="shared" si="4"/>
        <v>99.229690250961241</v>
      </c>
      <c r="E26" s="7">
        <f t="shared" si="4"/>
        <v>17.2463768115942</v>
      </c>
      <c r="F26" s="7">
        <f t="shared" si="4"/>
        <v>97.932921687566306</v>
      </c>
      <c r="G26" s="7">
        <f t="shared" si="4"/>
        <v>98.072966118442224</v>
      </c>
      <c r="H26" s="7">
        <f t="shared" si="4"/>
        <v>12.56596306068602</v>
      </c>
      <c r="I26" s="7">
        <f t="shared" si="4"/>
        <v>88.918584563945387</v>
      </c>
      <c r="J26" s="7">
        <f t="shared" si="4"/>
        <v>94.73969869083308</v>
      </c>
      <c r="K26" s="7">
        <f t="shared" si="4"/>
        <v>54.054054054054056</v>
      </c>
      <c r="L26" s="7">
        <f t="shared" si="4"/>
        <v>94.572654581471568</v>
      </c>
      <c r="M26" s="7">
        <f t="shared" si="4"/>
        <v>97.347451686745515</v>
      </c>
      <c r="N26" s="7">
        <f t="shared" si="4"/>
        <v>27.955464642111426</v>
      </c>
      <c r="O26" s="25"/>
      <c r="R26" s="20"/>
      <c r="S26" s="5" t="s">
        <v>22</v>
      </c>
      <c r="T26" s="7">
        <f t="shared" si="5"/>
        <v>99.229690250961241</v>
      </c>
      <c r="U26" s="7">
        <f t="shared" si="6"/>
        <v>98.072966118442224</v>
      </c>
      <c r="V26" s="7">
        <f t="shared" si="7"/>
        <v>94.73969869083308</v>
      </c>
      <c r="W26" s="13">
        <f t="shared" si="8"/>
        <v>97.347451686745515</v>
      </c>
    </row>
    <row r="27" spans="1:23" x14ac:dyDescent="0.15">
      <c r="A27" s="20"/>
      <c r="B27" s="5" t="s">
        <v>12</v>
      </c>
      <c r="C27" s="7">
        <f t="shared" si="4"/>
        <v>54.6364261168385</v>
      </c>
      <c r="D27" s="7">
        <f t="shared" si="4"/>
        <v>85.944725627209849</v>
      </c>
      <c r="E27" s="7">
        <f t="shared" si="4"/>
        <v>100</v>
      </c>
      <c r="F27" s="7">
        <f t="shared" si="4"/>
        <v>81.414499632782949</v>
      </c>
      <c r="G27" s="7">
        <f t="shared" si="4"/>
        <v>66.57497589722901</v>
      </c>
      <c r="H27" s="7">
        <f t="shared" si="4"/>
        <v>44.986807387862797</v>
      </c>
      <c r="I27" s="7">
        <f t="shared" si="4"/>
        <v>77.469118603139222</v>
      </c>
      <c r="J27" s="7">
        <f t="shared" si="4"/>
        <v>85.385592808966749</v>
      </c>
      <c r="K27" s="7">
        <f t="shared" si="4"/>
        <v>57.927927927927925</v>
      </c>
      <c r="L27" s="7">
        <f t="shared" si="4"/>
        <v>71.173348117586897</v>
      </c>
      <c r="M27" s="7">
        <f t="shared" si="4"/>
        <v>79.301764777801864</v>
      </c>
      <c r="N27" s="7">
        <f t="shared" si="4"/>
        <v>67.638245105263579</v>
      </c>
      <c r="O27" s="25"/>
      <c r="R27" s="20"/>
      <c r="S27" s="5" t="s">
        <v>12</v>
      </c>
      <c r="T27" s="7">
        <f t="shared" si="5"/>
        <v>85.944725627209849</v>
      </c>
      <c r="U27" s="7">
        <f t="shared" si="6"/>
        <v>66.57497589722901</v>
      </c>
      <c r="V27" s="7">
        <f t="shared" si="7"/>
        <v>85.385592808966749</v>
      </c>
      <c r="W27" s="13">
        <f t="shared" si="8"/>
        <v>79.301764777801864</v>
      </c>
    </row>
    <row r="28" spans="1:23" x14ac:dyDescent="0.15">
      <c r="A28" s="21"/>
      <c r="B28" s="8" t="s">
        <v>19</v>
      </c>
      <c r="C28" s="9">
        <f t="shared" si="4"/>
        <v>98.54866278201105</v>
      </c>
      <c r="D28" s="9">
        <f t="shared" si="4"/>
        <v>99.640727678685153</v>
      </c>
      <c r="E28" s="9">
        <f t="shared" si="4"/>
        <v>2.0289855072463769</v>
      </c>
      <c r="F28" s="9">
        <f t="shared" si="4"/>
        <v>97.798520251339667</v>
      </c>
      <c r="G28" s="9">
        <f t="shared" si="4"/>
        <v>98.086265721689131</v>
      </c>
      <c r="H28" s="9">
        <f t="shared" si="4"/>
        <v>9.7295514511873353</v>
      </c>
      <c r="I28" s="9">
        <f t="shared" si="4"/>
        <v>90.631596544998615</v>
      </c>
      <c r="J28" s="9">
        <f t="shared" si="4"/>
        <v>95.589363939697307</v>
      </c>
      <c r="K28" s="9">
        <f t="shared" si="4"/>
        <v>46.666666666666664</v>
      </c>
      <c r="L28" s="9">
        <f t="shared" si="4"/>
        <v>95.659593192783106</v>
      </c>
      <c r="M28" s="9">
        <f t="shared" si="4"/>
        <v>97.772119113357192</v>
      </c>
      <c r="N28" s="9">
        <f t="shared" si="4"/>
        <v>19.47506787503346</v>
      </c>
      <c r="O28" s="26"/>
      <c r="R28" s="21"/>
      <c r="S28" s="8" t="s">
        <v>19</v>
      </c>
      <c r="T28" s="9">
        <f t="shared" si="5"/>
        <v>99.640727678685153</v>
      </c>
      <c r="U28" s="9">
        <f t="shared" si="6"/>
        <v>98.086265721689131</v>
      </c>
      <c r="V28" s="9">
        <f t="shared" si="7"/>
        <v>95.589363939697307</v>
      </c>
      <c r="W28" s="15">
        <f t="shared" si="8"/>
        <v>97.772119113357192</v>
      </c>
    </row>
    <row r="29" spans="1:23" x14ac:dyDescent="0.15">
      <c r="A29" s="20" t="s">
        <v>13</v>
      </c>
      <c r="B29" s="5" t="s">
        <v>23</v>
      </c>
      <c r="C29" s="7">
        <f>C12*100</f>
        <v>97.7</v>
      </c>
      <c r="D29" s="7">
        <f t="shared" ref="D29:N29" si="9">D12*100</f>
        <v>99.339999999999989</v>
      </c>
      <c r="E29" s="7">
        <f t="shared" si="9"/>
        <v>14.35</v>
      </c>
      <c r="F29" s="7">
        <f t="shared" si="9"/>
        <v>99.4</v>
      </c>
      <c r="G29" s="7">
        <f t="shared" si="9"/>
        <v>99.41</v>
      </c>
      <c r="H29" s="7">
        <f t="shared" si="9"/>
        <v>1.8800000000000001</v>
      </c>
      <c r="I29" s="7">
        <f t="shared" si="9"/>
        <v>97.66</v>
      </c>
      <c r="J29" s="7">
        <f t="shared" si="9"/>
        <v>98.89</v>
      </c>
      <c r="K29" s="7">
        <f t="shared" si="9"/>
        <v>10.63</v>
      </c>
      <c r="L29" s="7">
        <f t="shared" si="9"/>
        <v>98.25333333333333</v>
      </c>
      <c r="M29" s="7">
        <f t="shared" si="9"/>
        <v>99.213333333333338</v>
      </c>
      <c r="N29" s="7">
        <f t="shared" si="9"/>
        <v>8.9533333333333331</v>
      </c>
      <c r="O29" s="2">
        <v>98.14</v>
      </c>
      <c r="R29" s="20" t="s">
        <v>13</v>
      </c>
      <c r="S29" s="5" t="s">
        <v>23</v>
      </c>
      <c r="T29" s="7">
        <f t="shared" si="5"/>
        <v>99.339999999999989</v>
      </c>
      <c r="U29" s="7">
        <f t="shared" si="6"/>
        <v>99.41</v>
      </c>
      <c r="V29" s="7">
        <f t="shared" si="7"/>
        <v>98.89</v>
      </c>
      <c r="W29" s="13">
        <f t="shared" si="8"/>
        <v>99.213333333333324</v>
      </c>
    </row>
    <row r="30" spans="1:23" x14ac:dyDescent="0.15">
      <c r="A30" s="20"/>
      <c r="B30" s="5" t="s">
        <v>15</v>
      </c>
      <c r="C30" s="7">
        <f t="shared" si="4"/>
        <v>96.63000000000001</v>
      </c>
      <c r="D30" s="7">
        <f t="shared" si="4"/>
        <v>99.1</v>
      </c>
      <c r="E30" s="7">
        <f t="shared" si="4"/>
        <v>21.16</v>
      </c>
      <c r="F30" s="7">
        <f t="shared" si="4"/>
        <v>99.88</v>
      </c>
      <c r="G30" s="7">
        <f t="shared" si="4"/>
        <v>99.88</v>
      </c>
      <c r="H30" s="7">
        <f t="shared" si="4"/>
        <v>0.03</v>
      </c>
      <c r="I30" s="7">
        <f t="shared" si="4"/>
        <v>99.5</v>
      </c>
      <c r="J30" s="7">
        <f t="shared" si="4"/>
        <v>99.81</v>
      </c>
      <c r="K30" s="7">
        <f t="shared" si="4"/>
        <v>0.18</v>
      </c>
      <c r="L30" s="7">
        <f t="shared" si="4"/>
        <v>98.67</v>
      </c>
      <c r="M30" s="7">
        <f t="shared" si="4"/>
        <v>99.59666666666665</v>
      </c>
      <c r="N30" s="7">
        <f t="shared" si="4"/>
        <v>7.1233333333333331</v>
      </c>
      <c r="O30" s="2">
        <v>98.43</v>
      </c>
      <c r="R30" s="20"/>
      <c r="S30" s="5" t="s">
        <v>15</v>
      </c>
      <c r="T30" s="7">
        <f t="shared" si="5"/>
        <v>99.1</v>
      </c>
      <c r="U30" s="7">
        <f t="shared" si="6"/>
        <v>99.88</v>
      </c>
      <c r="V30" s="7">
        <f t="shared" si="7"/>
        <v>99.81</v>
      </c>
      <c r="W30" s="13">
        <f t="shared" si="8"/>
        <v>99.59666666666665</v>
      </c>
    </row>
    <row r="31" spans="1:23" ht="14.25" thickBot="1" x14ac:dyDescent="0.2">
      <c r="A31" s="22"/>
      <c r="B31" s="1" t="s">
        <v>16</v>
      </c>
      <c r="C31" s="10">
        <f t="shared" si="4"/>
        <v>98.5598087554161</v>
      </c>
      <c r="D31" s="10">
        <f t="shared" si="4"/>
        <v>99.628175584211021</v>
      </c>
      <c r="E31" s="10">
        <f t="shared" si="4"/>
        <v>4.057971014492753</v>
      </c>
      <c r="F31" s="10">
        <f t="shared" si="4"/>
        <v>99.993689307183857</v>
      </c>
      <c r="G31" s="10">
        <f t="shared" si="4"/>
        <v>99.992490140082552</v>
      </c>
      <c r="H31" s="10">
        <f t="shared" si="4"/>
        <v>0</v>
      </c>
      <c r="I31" s="10">
        <f t="shared" si="4"/>
        <v>97.713866443763351</v>
      </c>
      <c r="J31" s="10">
        <f t="shared" si="4"/>
        <v>98.881256444591756</v>
      </c>
      <c r="K31" s="10">
        <f t="shared" si="4"/>
        <v>11.351351351351351</v>
      </c>
      <c r="L31" s="10">
        <f t="shared" si="4"/>
        <v>98.75578816878776</v>
      </c>
      <c r="M31" s="10">
        <f t="shared" si="4"/>
        <v>99.500640722961776</v>
      </c>
      <c r="N31" s="10">
        <f t="shared" si="4"/>
        <v>5.136440788614701</v>
      </c>
      <c r="O31" s="3">
        <v>99.38</v>
      </c>
      <c r="R31" s="22"/>
      <c r="S31" s="1" t="s">
        <v>16</v>
      </c>
      <c r="T31" s="10">
        <f t="shared" si="5"/>
        <v>99.628175584211021</v>
      </c>
      <c r="U31" s="10">
        <f t="shared" si="6"/>
        <v>99.992490140082552</v>
      </c>
      <c r="V31" s="10">
        <f t="shared" si="7"/>
        <v>98.881256444591756</v>
      </c>
      <c r="W31" s="14">
        <f t="shared" si="8"/>
        <v>99.500640722961791</v>
      </c>
    </row>
  </sheetData>
  <mergeCells count="25">
    <mergeCell ref="L18:N18"/>
    <mergeCell ref="O1:O2"/>
    <mergeCell ref="A3:A11"/>
    <mergeCell ref="O3:O11"/>
    <mergeCell ref="A12:A14"/>
    <mergeCell ref="A18:A19"/>
    <mergeCell ref="B18:B19"/>
    <mergeCell ref="O18:O19"/>
    <mergeCell ref="A1:A2"/>
    <mergeCell ref="B1:B2"/>
    <mergeCell ref="C1:E1"/>
    <mergeCell ref="F1:H1"/>
    <mergeCell ref="I1:K1"/>
    <mergeCell ref="L1:N1"/>
    <mergeCell ref="A20:A28"/>
    <mergeCell ref="A29:A31"/>
    <mergeCell ref="C18:E18"/>
    <mergeCell ref="F18:H18"/>
    <mergeCell ref="I18:K18"/>
    <mergeCell ref="R20:R28"/>
    <mergeCell ref="R29:R31"/>
    <mergeCell ref="T18:W18"/>
    <mergeCell ref="O20:O28"/>
    <mergeCell ref="R18:R19"/>
    <mergeCell ref="S18:S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晓艳 周</cp:lastModifiedBy>
  <dcterms:created xsi:type="dcterms:W3CDTF">2024-04-02T16:03:35Z</dcterms:created>
  <dcterms:modified xsi:type="dcterms:W3CDTF">2026-03-05T08:50:06Z</dcterms:modified>
</cp:coreProperties>
</file>